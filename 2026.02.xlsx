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ti\Downloads\"/>
    </mc:Choice>
  </mc:AlternateContent>
  <xr:revisionPtr revIDLastSave="0" documentId="13_ncr:1_{CAD58189-6905-4D17-93FB-5E0E3993D2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ul1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0" i="21" l="1"/>
  <c r="P39" i="21"/>
  <c r="P38" i="21"/>
  <c r="P37" i="21"/>
  <c r="P36" i="21"/>
  <c r="P35" i="21"/>
  <c r="P34" i="21"/>
  <c r="P33" i="21"/>
  <c r="P32" i="21"/>
  <c r="P31" i="21"/>
</calcChain>
</file>

<file path=xl/sharedStrings.xml><?xml version="1.0" encoding="utf-8"?>
<sst xmlns="http://schemas.openxmlformats.org/spreadsheetml/2006/main" count="786" uniqueCount="81">
  <si>
    <t>Szerda</t>
  </si>
  <si>
    <t>Heti óraszám</t>
  </si>
  <si>
    <t>Patrik</t>
  </si>
  <si>
    <t>Levente</t>
  </si>
  <si>
    <t>Bence</t>
  </si>
  <si>
    <t>Benjámin</t>
  </si>
  <si>
    <t>hétfő</t>
  </si>
  <si>
    <t>Feri</t>
  </si>
  <si>
    <t>Domi</t>
  </si>
  <si>
    <t>kedd</t>
  </si>
  <si>
    <t>szerda</t>
  </si>
  <si>
    <t>csütörtök</t>
  </si>
  <si>
    <t>péntek</t>
  </si>
  <si>
    <t>szombat</t>
  </si>
  <si>
    <t>vasárnap</t>
  </si>
  <si>
    <t>Losi</t>
  </si>
  <si>
    <t>Feri,Losi</t>
  </si>
  <si>
    <t>Benjámin,Losi</t>
  </si>
  <si>
    <t>Benjámin, Barnabás</t>
  </si>
  <si>
    <t>Feri , Losi</t>
  </si>
  <si>
    <t>Bence,Peti</t>
  </si>
  <si>
    <t>Bence , Feri</t>
  </si>
  <si>
    <t>Bence,Losi</t>
  </si>
  <si>
    <t>Benjámin,Peti</t>
  </si>
  <si>
    <t>Benjámin , András</t>
  </si>
  <si>
    <t>Domi ,Levente</t>
  </si>
  <si>
    <t>Feri.Benjámin</t>
  </si>
  <si>
    <t>Benjámin , Feri</t>
  </si>
  <si>
    <t>Feri,Peti</t>
  </si>
  <si>
    <t>Bence , Losi</t>
  </si>
  <si>
    <t>Bence, András</t>
  </si>
  <si>
    <t>Levente,Losi</t>
  </si>
  <si>
    <t>Levente,Peti</t>
  </si>
  <si>
    <t>Bence, Benjámin</t>
  </si>
  <si>
    <t xml:space="preserve">Losi , </t>
  </si>
  <si>
    <t xml:space="preserve">Losi , Bence </t>
  </si>
  <si>
    <t>Levente , Domi</t>
  </si>
  <si>
    <t>Levente , Mosofiu?</t>
  </si>
  <si>
    <t>Domi ,Barnabás</t>
  </si>
  <si>
    <t xml:space="preserve">András , Bence </t>
  </si>
  <si>
    <t>Barnabás,András</t>
  </si>
  <si>
    <t>András,Peti</t>
  </si>
  <si>
    <t>Levente , Barnabás</t>
  </si>
  <si>
    <t>Bence,Feri</t>
  </si>
  <si>
    <t>Bence,</t>
  </si>
  <si>
    <t>András,</t>
  </si>
  <si>
    <t>Bence ,Domi</t>
  </si>
  <si>
    <t>Barnabás , Levente</t>
  </si>
  <si>
    <t>Losi,Domi</t>
  </si>
  <si>
    <t>Barnabás,Domi</t>
  </si>
  <si>
    <t>András</t>
  </si>
  <si>
    <t>Losi,Peti</t>
  </si>
  <si>
    <t>Barnabás,Peti</t>
  </si>
  <si>
    <t>Barnabás, Bence</t>
  </si>
  <si>
    <t>Barnabás</t>
  </si>
  <si>
    <t xml:space="preserve"> András</t>
  </si>
  <si>
    <t>András , Losi</t>
  </si>
  <si>
    <t>Feri,Domi</t>
  </si>
  <si>
    <t>Domi , Patrik</t>
  </si>
  <si>
    <t>Patrik , András</t>
  </si>
  <si>
    <t>Patrik,András</t>
  </si>
  <si>
    <t>Bence,Patrik</t>
  </si>
  <si>
    <t>András,Patrik</t>
  </si>
  <si>
    <t>Losi ,Domi</t>
  </si>
  <si>
    <t>András ,Patrik</t>
  </si>
  <si>
    <t>Barnabás , Patrik</t>
  </si>
  <si>
    <t xml:space="preserve">Losi , Domi </t>
  </si>
  <si>
    <t>Patrik,Peti</t>
  </si>
  <si>
    <t>Domi ,Patrik</t>
  </si>
  <si>
    <t>Benjámin ,</t>
  </si>
  <si>
    <t>Benjámin , Barnabás</t>
  </si>
  <si>
    <t>BenjáminLosi</t>
  </si>
  <si>
    <t>Bence, Feri</t>
  </si>
  <si>
    <t>Benjámin,András</t>
  </si>
  <si>
    <t>Feri ,Benjámin</t>
  </si>
  <si>
    <t>Bence , András</t>
  </si>
  <si>
    <t>Bence,Benjámin</t>
  </si>
  <si>
    <t>Benjámin ,Losi</t>
  </si>
  <si>
    <t>Bence, Losi</t>
  </si>
  <si>
    <t>Bence ,Losi</t>
  </si>
  <si>
    <t>Peti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</si>
</sst>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óra&quot;"/>
  </numFmts>
  <fonts count="8">
    <font>
      <sz val="10"/>
      <color rgb="FF000000"/>
      <name val="Arial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sz val="23"/>
      <color theme="1"/>
      <name val="Arial"/>
    </font>
    <font>
      <sz val="23"/>
      <color rgb="FF000000"/>
      <name val="Arial"/>
    </font>
    <font>
      <i/>
      <sz val="23"/>
      <color rgb="FF000000"/>
      <name val="Aptos Narrow"/>
    </font>
    <font>
      <sz val="24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14" fontId="1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0" xfId="0" applyFont="1"/>
    <xf numFmtId="0" fontId="5" fillId="2" borderId="2" xfId="0" applyFont="1" applyFill="1" applyBorder="1"/>
    <xf numFmtId="164" fontId="6" fillId="0" borderId="0" xfId="0" applyNumberFormat="1" applyFont="1" applyAlignment="1">
      <alignment horizontal="center"/>
    </xf>
    <xf numFmtId="0" fontId="7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F999"/>
  <sheetViews>
    <sheetView tabSelected="1" zoomScale="85" zoomScaleNormal="85" workbookViewId="0">
      <selection activeCell="N32" sqref="N32"/>
    </sheetView>
  </sheetViews>
  <sheetFormatPr defaultColWidth="12.5703125" defaultRowHeight="15" customHeight="1"/>
  <cols>
    <col min="3" max="3" width="13.42578125" customWidth="1"/>
    <col min="4" max="4" width="18" customWidth="1"/>
    <col min="5" max="5" width="17.42578125" customWidth="1"/>
    <col min="6" max="6" width="14.140625" customWidth="1"/>
    <col min="8" max="8" width="15" customWidth="1"/>
    <col min="10" max="10" width="15.140625" customWidth="1"/>
    <col min="12" max="12" width="12.28515625" customWidth="1"/>
    <col min="13" max="13" width="15" customWidth="1"/>
    <col min="14" max="14" width="16" customWidth="1"/>
    <col min="15" max="15" width="18.140625" customWidth="1"/>
    <col min="16" max="16" width="13.42578125" customWidth="1"/>
    <col min="19" max="19" width="16.85546875" customWidth="1"/>
    <col min="20" max="20" width="13.42578125" customWidth="1"/>
    <col min="21" max="21" width="13.5703125" customWidth="1"/>
    <col min="25" max="25" width="15" customWidth="1"/>
    <col min="26" max="26" width="13.140625" customWidth="1"/>
    <col min="27" max="27" width="15" customWidth="1"/>
    <col min="28" max="28" width="12.42578125" customWidth="1"/>
    <col min="29" max="30" width="13.140625" customWidth="1"/>
    <col min="31" max="31" width="14.42578125" customWidth="1"/>
    <col min="32" max="32" width="14.85546875" customWidth="1"/>
  </cols>
  <sheetData>
    <row r="1" spans="1:32" ht="15" customHeight="1">
      <c r="B1" s="4" t="s">
        <v>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6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6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6</v>
      </c>
      <c r="V1" s="4" t="s">
        <v>9</v>
      </c>
      <c r="W1" s="4" t="s">
        <v>10</v>
      </c>
      <c r="X1" s="4" t="s">
        <v>11</v>
      </c>
      <c r="Y1" s="4" t="s">
        <v>12</v>
      </c>
      <c r="Z1" s="4" t="s">
        <v>13</v>
      </c>
      <c r="AA1" s="4" t="s">
        <v>14</v>
      </c>
      <c r="AB1" s="4" t="s">
        <v>6</v>
      </c>
      <c r="AC1" s="4" t="s">
        <v>9</v>
      </c>
      <c r="AD1" s="4" t="s">
        <v>10</v>
      </c>
      <c r="AE1" s="4" t="s">
        <v>11</v>
      </c>
      <c r="AF1" s="4" t="s">
        <v>12</v>
      </c>
    </row>
    <row r="2" spans="1:32" ht="15" customHeight="1">
      <c r="B2" s="1">
        <v>46204</v>
      </c>
      <c r="C2" s="1">
        <v>46205</v>
      </c>
      <c r="D2" s="1">
        <v>46206</v>
      </c>
      <c r="E2" s="1">
        <v>46207</v>
      </c>
      <c r="F2" s="1">
        <v>46208</v>
      </c>
      <c r="G2" s="1">
        <v>46209</v>
      </c>
      <c r="H2" s="1">
        <v>46210</v>
      </c>
      <c r="I2" s="1">
        <v>46211</v>
      </c>
      <c r="J2" s="1">
        <v>46212</v>
      </c>
      <c r="K2" s="1">
        <v>46213</v>
      </c>
      <c r="L2" s="1">
        <v>46214</v>
      </c>
      <c r="M2" s="1">
        <v>46215</v>
      </c>
      <c r="N2" s="1">
        <v>46216</v>
      </c>
      <c r="O2" s="1">
        <v>46217</v>
      </c>
      <c r="P2" s="1">
        <v>46218</v>
      </c>
      <c r="Q2" s="1">
        <v>46219</v>
      </c>
      <c r="R2" s="1">
        <v>46220</v>
      </c>
      <c r="S2" s="1">
        <v>46221</v>
      </c>
      <c r="T2" s="1">
        <v>46222</v>
      </c>
      <c r="U2" s="1">
        <v>46223</v>
      </c>
      <c r="V2" s="1">
        <v>46224</v>
      </c>
      <c r="W2" s="1">
        <v>46225</v>
      </c>
      <c r="X2" s="1">
        <v>46226</v>
      </c>
      <c r="Y2" s="1">
        <v>46227</v>
      </c>
      <c r="Z2" s="1">
        <v>46228</v>
      </c>
      <c r="AA2" s="1">
        <v>46229</v>
      </c>
      <c r="AB2" s="1">
        <v>46230</v>
      </c>
      <c r="AC2" s="1">
        <v>46231</v>
      </c>
      <c r="AD2" s="1">
        <v>46232</v>
      </c>
      <c r="AE2" s="1">
        <v>46233</v>
      </c>
      <c r="AF2" s="1">
        <v>46234</v>
      </c>
    </row>
    <row r="3" spans="1:32">
      <c r="A3" s="2">
        <v>0</v>
      </c>
      <c r="B3" s="3" t="s">
        <v>4</v>
      </c>
      <c r="C3" s="3" t="s">
        <v>16</v>
      </c>
      <c r="D3" s="3" t="s">
        <v>17</v>
      </c>
      <c r="E3" s="3" t="s">
        <v>18</v>
      </c>
      <c r="F3" s="3" t="s">
        <v>5</v>
      </c>
      <c r="G3" s="3" t="s">
        <v>19</v>
      </c>
      <c r="H3" s="3" t="s">
        <v>15</v>
      </c>
      <c r="I3" s="3" t="s">
        <v>20</v>
      </c>
      <c r="J3" s="3" t="s">
        <v>17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24</v>
      </c>
      <c r="P3" s="3" t="s">
        <v>25</v>
      </c>
      <c r="Q3" s="3" t="s">
        <v>25</v>
      </c>
      <c r="R3" s="3" t="s">
        <v>26</v>
      </c>
      <c r="S3" s="3" t="s">
        <v>26</v>
      </c>
      <c r="T3" s="3" t="s">
        <v>22</v>
      </c>
      <c r="U3" s="3" t="s">
        <v>27</v>
      </c>
      <c r="V3" s="3" t="s">
        <v>28</v>
      </c>
      <c r="W3" s="3" t="s">
        <v>29</v>
      </c>
      <c r="X3" s="3" t="s">
        <v>5</v>
      </c>
      <c r="Y3" s="3" t="s">
        <v>17</v>
      </c>
      <c r="Z3" s="3" t="s">
        <v>23</v>
      </c>
      <c r="AA3" s="3" t="s">
        <v>30</v>
      </c>
      <c r="AB3" s="3" t="s">
        <v>22</v>
      </c>
      <c r="AC3" s="3" t="s">
        <v>31</v>
      </c>
      <c r="AD3" s="3" t="s">
        <v>29</v>
      </c>
      <c r="AE3" s="3" t="s">
        <v>32</v>
      </c>
      <c r="AF3" s="3" t="s">
        <v>33</v>
      </c>
    </row>
    <row r="4" spans="1:32">
      <c r="A4" s="2">
        <v>4.1666666666666657E-2</v>
      </c>
      <c r="B4" s="3" t="s">
        <v>4</v>
      </c>
      <c r="C4" s="3" t="s">
        <v>16</v>
      </c>
      <c r="D4" s="3" t="s">
        <v>17</v>
      </c>
      <c r="E4" s="3" t="s">
        <v>18</v>
      </c>
      <c r="F4" s="3" t="s">
        <v>5</v>
      </c>
      <c r="G4" s="3" t="s">
        <v>19</v>
      </c>
      <c r="H4" s="3" t="s">
        <v>15</v>
      </c>
      <c r="I4" s="3" t="s">
        <v>20</v>
      </c>
      <c r="J4" s="3" t="s">
        <v>17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24</v>
      </c>
      <c r="P4" s="3" t="s">
        <v>25</v>
      </c>
      <c r="Q4" s="3" t="s">
        <v>25</v>
      </c>
      <c r="R4" s="3" t="s">
        <v>26</v>
      </c>
      <c r="S4" s="3" t="s">
        <v>26</v>
      </c>
      <c r="T4" s="3" t="s">
        <v>22</v>
      </c>
      <c r="U4" s="3" t="s">
        <v>27</v>
      </c>
      <c r="V4" s="3" t="s">
        <v>28</v>
      </c>
      <c r="W4" s="3" t="s">
        <v>29</v>
      </c>
      <c r="X4" s="3" t="s">
        <v>5</v>
      </c>
      <c r="Y4" s="3" t="s">
        <v>17</v>
      </c>
      <c r="Z4" s="3" t="s">
        <v>23</v>
      </c>
      <c r="AA4" s="3" t="s">
        <v>30</v>
      </c>
      <c r="AB4" s="3" t="s">
        <v>22</v>
      </c>
      <c r="AC4" s="3" t="s">
        <v>31</v>
      </c>
      <c r="AD4" s="3" t="s">
        <v>29</v>
      </c>
      <c r="AE4" s="3" t="s">
        <v>32</v>
      </c>
      <c r="AF4" s="3" t="s">
        <v>33</v>
      </c>
    </row>
    <row r="5" spans="1:32">
      <c r="A5" s="2">
        <v>8.3333333333333995E-2</v>
      </c>
      <c r="B5" s="3" t="s">
        <v>4</v>
      </c>
      <c r="C5" s="3" t="s">
        <v>16</v>
      </c>
      <c r="D5" s="3" t="s">
        <v>17</v>
      </c>
      <c r="E5" s="3" t="s">
        <v>18</v>
      </c>
      <c r="F5" s="3" t="s">
        <v>5</v>
      </c>
      <c r="G5" s="3" t="s">
        <v>19</v>
      </c>
      <c r="H5" s="3" t="s">
        <v>34</v>
      </c>
      <c r="I5" s="3" t="s">
        <v>20</v>
      </c>
      <c r="J5" s="3" t="s">
        <v>17</v>
      </c>
      <c r="K5" s="3" t="s">
        <v>21</v>
      </c>
      <c r="L5" s="3" t="s">
        <v>22</v>
      </c>
      <c r="M5" s="3" t="s">
        <v>23</v>
      </c>
      <c r="N5" s="3" t="s">
        <v>24</v>
      </c>
      <c r="O5" s="3" t="s">
        <v>24</v>
      </c>
      <c r="P5" s="3" t="s">
        <v>25</v>
      </c>
      <c r="Q5" s="3" t="s">
        <v>25</v>
      </c>
      <c r="R5" s="3" t="s">
        <v>26</v>
      </c>
      <c r="S5" s="3" t="s">
        <v>26</v>
      </c>
      <c r="T5" s="3" t="s">
        <v>22</v>
      </c>
      <c r="U5" s="3" t="s">
        <v>27</v>
      </c>
      <c r="V5" s="3" t="s">
        <v>28</v>
      </c>
      <c r="W5" s="3" t="s">
        <v>29</v>
      </c>
      <c r="X5" s="3" t="s">
        <v>5</v>
      </c>
      <c r="Y5" s="3" t="s">
        <v>17</v>
      </c>
      <c r="Z5" s="3" t="s">
        <v>23</v>
      </c>
      <c r="AA5" s="3" t="s">
        <v>30</v>
      </c>
      <c r="AB5" s="3" t="s">
        <v>22</v>
      </c>
      <c r="AC5" s="3" t="s">
        <v>31</v>
      </c>
      <c r="AD5" s="3" t="s">
        <v>29</v>
      </c>
      <c r="AE5" s="3" t="s">
        <v>32</v>
      </c>
      <c r="AF5" s="3" t="s">
        <v>33</v>
      </c>
    </row>
    <row r="6" spans="1:32">
      <c r="A6" s="2">
        <v>0.125000000000001</v>
      </c>
      <c r="B6" s="3" t="s">
        <v>4</v>
      </c>
      <c r="C6" s="3" t="s">
        <v>16</v>
      </c>
      <c r="D6" s="3" t="s">
        <v>17</v>
      </c>
      <c r="E6" s="3" t="s">
        <v>18</v>
      </c>
      <c r="F6" s="3" t="s">
        <v>5</v>
      </c>
      <c r="G6" s="3" t="s">
        <v>19</v>
      </c>
      <c r="H6" s="3" t="s">
        <v>34</v>
      </c>
      <c r="I6" s="3" t="s">
        <v>20</v>
      </c>
      <c r="J6" s="3" t="s">
        <v>17</v>
      </c>
      <c r="K6" s="3" t="s">
        <v>21</v>
      </c>
      <c r="L6" s="3" t="s">
        <v>22</v>
      </c>
      <c r="M6" s="3" t="s">
        <v>23</v>
      </c>
      <c r="N6" s="3" t="s">
        <v>24</v>
      </c>
      <c r="O6" s="3" t="s">
        <v>24</v>
      </c>
      <c r="P6" s="3" t="s">
        <v>25</v>
      </c>
      <c r="Q6" s="3" t="s">
        <v>25</v>
      </c>
      <c r="R6" s="3" t="s">
        <v>26</v>
      </c>
      <c r="S6" s="3" t="s">
        <v>26</v>
      </c>
      <c r="T6" s="3" t="s">
        <v>22</v>
      </c>
      <c r="U6" s="3" t="s">
        <v>27</v>
      </c>
      <c r="V6" s="3" t="s">
        <v>28</v>
      </c>
      <c r="W6" s="3" t="s">
        <v>29</v>
      </c>
      <c r="X6" s="3" t="s">
        <v>5</v>
      </c>
      <c r="Y6" s="3" t="s">
        <v>17</v>
      </c>
      <c r="Z6" s="3" t="s">
        <v>23</v>
      </c>
      <c r="AA6" s="3" t="s">
        <v>30</v>
      </c>
      <c r="AB6" s="3" t="s">
        <v>22</v>
      </c>
      <c r="AC6" s="3" t="s">
        <v>31</v>
      </c>
      <c r="AD6" s="3" t="s">
        <v>29</v>
      </c>
      <c r="AE6" s="3" t="s">
        <v>32</v>
      </c>
      <c r="AF6" s="3" t="s">
        <v>33</v>
      </c>
    </row>
    <row r="7" spans="1:32">
      <c r="A7" s="2">
        <v>0.16666666666666796</v>
      </c>
      <c r="B7" s="3" t="s">
        <v>4</v>
      </c>
      <c r="C7" s="3" t="s">
        <v>16</v>
      </c>
      <c r="D7" s="3" t="s">
        <v>17</v>
      </c>
      <c r="E7" s="3" t="s">
        <v>18</v>
      </c>
      <c r="F7" s="3" t="s">
        <v>5</v>
      </c>
      <c r="G7" s="3" t="s">
        <v>19</v>
      </c>
      <c r="H7" s="3" t="s">
        <v>35</v>
      </c>
      <c r="I7" s="3" t="s">
        <v>20</v>
      </c>
      <c r="J7" s="3" t="s">
        <v>17</v>
      </c>
      <c r="K7" s="3" t="s">
        <v>21</v>
      </c>
      <c r="L7" s="3" t="s">
        <v>22</v>
      </c>
      <c r="M7" s="3" t="s">
        <v>23</v>
      </c>
      <c r="N7" s="3" t="s">
        <v>24</v>
      </c>
      <c r="O7" s="3" t="s">
        <v>24</v>
      </c>
      <c r="P7" s="3" t="s">
        <v>25</v>
      </c>
      <c r="Q7" s="3" t="s">
        <v>25</v>
      </c>
      <c r="R7" s="3" t="s">
        <v>26</v>
      </c>
      <c r="S7" s="3" t="s">
        <v>26</v>
      </c>
      <c r="T7" s="3" t="s">
        <v>22</v>
      </c>
      <c r="U7" s="3" t="s">
        <v>27</v>
      </c>
      <c r="V7" s="3" t="s">
        <v>28</v>
      </c>
      <c r="W7" s="3" t="s">
        <v>29</v>
      </c>
      <c r="X7" s="3" t="s">
        <v>5</v>
      </c>
      <c r="Y7" s="3" t="s">
        <v>17</v>
      </c>
      <c r="Z7" s="3" t="s">
        <v>23</v>
      </c>
      <c r="AA7" s="3" t="s">
        <v>30</v>
      </c>
      <c r="AB7" s="3" t="s">
        <v>22</v>
      </c>
      <c r="AC7" s="3" t="s">
        <v>31</v>
      </c>
      <c r="AD7" s="3" t="s">
        <v>29</v>
      </c>
      <c r="AE7" s="3" t="s">
        <v>32</v>
      </c>
      <c r="AF7" s="3" t="s">
        <v>33</v>
      </c>
    </row>
    <row r="8" spans="1:32">
      <c r="A8" s="2">
        <v>0.20833333333333498</v>
      </c>
      <c r="B8" s="3" t="s">
        <v>4</v>
      </c>
      <c r="C8" s="3" t="s">
        <v>16</v>
      </c>
      <c r="D8" s="3" t="s">
        <v>17</v>
      </c>
      <c r="E8" s="3" t="s">
        <v>18</v>
      </c>
      <c r="F8" s="3" t="s">
        <v>5</v>
      </c>
      <c r="G8" s="3" t="s">
        <v>19</v>
      </c>
      <c r="H8" s="3" t="s">
        <v>35</v>
      </c>
      <c r="I8" s="3" t="s">
        <v>20</v>
      </c>
      <c r="J8" s="3" t="s">
        <v>17</v>
      </c>
      <c r="K8" s="3" t="s">
        <v>21</v>
      </c>
      <c r="L8" s="3" t="s">
        <v>22</v>
      </c>
      <c r="M8" s="3" t="s">
        <v>23</v>
      </c>
      <c r="N8" s="3" t="s">
        <v>24</v>
      </c>
      <c r="O8" s="3" t="s">
        <v>24</v>
      </c>
      <c r="P8" s="3" t="s">
        <v>25</v>
      </c>
      <c r="Q8" s="3" t="s">
        <v>25</v>
      </c>
      <c r="R8" s="3" t="s">
        <v>26</v>
      </c>
      <c r="S8" s="3" t="s">
        <v>26</v>
      </c>
      <c r="T8" s="3" t="s">
        <v>22</v>
      </c>
      <c r="U8" s="3" t="s">
        <v>27</v>
      </c>
      <c r="V8" s="3" t="s">
        <v>28</v>
      </c>
      <c r="W8" s="3" t="s">
        <v>29</v>
      </c>
      <c r="X8" s="3" t="s">
        <v>5</v>
      </c>
      <c r="Y8" s="3" t="s">
        <v>17</v>
      </c>
      <c r="Z8" s="3" t="s">
        <v>23</v>
      </c>
      <c r="AA8" s="3" t="s">
        <v>30</v>
      </c>
      <c r="AB8" s="3" t="s">
        <v>22</v>
      </c>
      <c r="AC8" s="3" t="s">
        <v>31</v>
      </c>
      <c r="AD8" s="3" t="s">
        <v>29</v>
      </c>
      <c r="AE8" s="3" t="s">
        <v>32</v>
      </c>
      <c r="AF8" s="3" t="s">
        <v>33</v>
      </c>
    </row>
    <row r="9" spans="1:32">
      <c r="A9" s="2">
        <v>0.250000000000002</v>
      </c>
      <c r="B9" s="3" t="s">
        <v>8</v>
      </c>
      <c r="C9" s="3" t="s">
        <v>36</v>
      </c>
      <c r="D9" s="3" t="s">
        <v>37</v>
      </c>
      <c r="E9" s="3" t="s">
        <v>37</v>
      </c>
      <c r="F9" s="3" t="s">
        <v>38</v>
      </c>
      <c r="G9" s="3" t="s">
        <v>4</v>
      </c>
      <c r="H9" s="3" t="s">
        <v>39</v>
      </c>
      <c r="I9" s="3" t="s">
        <v>4</v>
      </c>
      <c r="J9" s="3" t="s">
        <v>40</v>
      </c>
      <c r="K9" s="3" t="s">
        <v>41</v>
      </c>
      <c r="L9" s="3" t="s">
        <v>31</v>
      </c>
      <c r="M9" s="3" t="s">
        <v>42</v>
      </c>
      <c r="N9" s="3" t="s">
        <v>20</v>
      </c>
      <c r="O9" s="3" t="s">
        <v>43</v>
      </c>
      <c r="P9" s="3" t="s">
        <v>44</v>
      </c>
      <c r="Q9" s="3" t="s">
        <v>45</v>
      </c>
      <c r="R9" s="3" t="s">
        <v>46</v>
      </c>
      <c r="S9" s="3" t="s">
        <v>47</v>
      </c>
      <c r="T9" s="3" t="s">
        <v>48</v>
      </c>
      <c r="U9" s="3" t="s">
        <v>49</v>
      </c>
      <c r="V9" s="3" t="s">
        <v>50</v>
      </c>
      <c r="W9" s="3" t="s">
        <v>51</v>
      </c>
      <c r="X9" s="3" t="s">
        <v>52</v>
      </c>
      <c r="Y9" s="3" t="s">
        <v>53</v>
      </c>
      <c r="Z9" s="3" t="s">
        <v>31</v>
      </c>
      <c r="AA9" s="3" t="s">
        <v>54</v>
      </c>
      <c r="AB9" s="3" t="s">
        <v>52</v>
      </c>
      <c r="AC9" s="3" t="s">
        <v>55</v>
      </c>
      <c r="AD9" s="3" t="s">
        <v>56</v>
      </c>
      <c r="AE9" s="3" t="s">
        <v>57</v>
      </c>
      <c r="AF9" s="3" t="s">
        <v>57</v>
      </c>
    </row>
    <row r="10" spans="1:32">
      <c r="A10" s="2">
        <v>0.29166666666666902</v>
      </c>
      <c r="B10" s="3" t="s">
        <v>8</v>
      </c>
      <c r="C10" s="3" t="s">
        <v>36</v>
      </c>
      <c r="D10" s="3" t="s">
        <v>37</v>
      </c>
      <c r="E10" s="3" t="s">
        <v>37</v>
      </c>
      <c r="F10" s="3" t="s">
        <v>38</v>
      </c>
      <c r="G10" s="3" t="s">
        <v>4</v>
      </c>
      <c r="H10" s="3" t="s">
        <v>39</v>
      </c>
      <c r="I10" s="3" t="s">
        <v>4</v>
      </c>
      <c r="J10" s="3" t="s">
        <v>40</v>
      </c>
      <c r="K10" s="3" t="s">
        <v>41</v>
      </c>
      <c r="L10" s="3" t="s">
        <v>31</v>
      </c>
      <c r="M10" s="3" t="s">
        <v>42</v>
      </c>
      <c r="N10" s="3" t="s">
        <v>20</v>
      </c>
      <c r="O10" s="3" t="s">
        <v>43</v>
      </c>
      <c r="P10" s="3" t="s">
        <v>44</v>
      </c>
      <c r="Q10" s="3" t="s">
        <v>45</v>
      </c>
      <c r="R10" s="3" t="s">
        <v>46</v>
      </c>
      <c r="S10" s="3" t="s">
        <v>47</v>
      </c>
      <c r="T10" s="3" t="s">
        <v>48</v>
      </c>
      <c r="U10" s="3" t="s">
        <v>49</v>
      </c>
      <c r="V10" s="3" t="s">
        <v>50</v>
      </c>
      <c r="W10" s="3" t="s">
        <v>51</v>
      </c>
      <c r="X10" s="3" t="s">
        <v>52</v>
      </c>
      <c r="Y10" s="3" t="s">
        <v>53</v>
      </c>
      <c r="Z10" s="3" t="s">
        <v>31</v>
      </c>
      <c r="AA10" s="3" t="s">
        <v>54</v>
      </c>
      <c r="AB10" s="3" t="s">
        <v>52</v>
      </c>
      <c r="AC10" s="3" t="s">
        <v>55</v>
      </c>
      <c r="AD10" s="3" t="s">
        <v>56</v>
      </c>
      <c r="AE10" s="3" t="s">
        <v>57</v>
      </c>
      <c r="AF10" s="3" t="s">
        <v>57</v>
      </c>
    </row>
    <row r="11" spans="1:32">
      <c r="A11" s="2">
        <v>0.33333333333333598</v>
      </c>
      <c r="B11" s="3" t="s">
        <v>58</v>
      </c>
      <c r="C11" s="3" t="s">
        <v>36</v>
      </c>
      <c r="D11" s="3" t="s">
        <v>37</v>
      </c>
      <c r="E11" s="3" t="s">
        <v>37</v>
      </c>
      <c r="F11" s="3" t="s">
        <v>38</v>
      </c>
      <c r="G11" s="3" t="s">
        <v>4</v>
      </c>
      <c r="H11" s="3" t="s">
        <v>59</v>
      </c>
      <c r="I11" s="3" t="s">
        <v>60</v>
      </c>
      <c r="J11" s="3" t="s">
        <v>40</v>
      </c>
      <c r="K11" s="3" t="s">
        <v>41</v>
      </c>
      <c r="L11" s="3" t="s">
        <v>31</v>
      </c>
      <c r="M11" s="3" t="s">
        <v>42</v>
      </c>
      <c r="N11" s="3" t="s">
        <v>20</v>
      </c>
      <c r="O11" s="3" t="s">
        <v>43</v>
      </c>
      <c r="P11" s="3" t="s">
        <v>61</v>
      </c>
      <c r="Q11" s="3" t="s">
        <v>62</v>
      </c>
      <c r="R11" s="3" t="s">
        <v>46</v>
      </c>
      <c r="S11" s="3" t="s">
        <v>47</v>
      </c>
      <c r="T11" s="3" t="s">
        <v>63</v>
      </c>
      <c r="U11" s="3" t="s">
        <v>49</v>
      </c>
      <c r="V11" s="3" t="s">
        <v>64</v>
      </c>
      <c r="W11" s="3" t="s">
        <v>51</v>
      </c>
      <c r="X11" s="3" t="s">
        <v>52</v>
      </c>
      <c r="Y11" s="3" t="s">
        <v>53</v>
      </c>
      <c r="Z11" s="3" t="s">
        <v>31</v>
      </c>
      <c r="AA11" s="3" t="s">
        <v>65</v>
      </c>
      <c r="AB11" s="3" t="s">
        <v>52</v>
      </c>
      <c r="AC11" s="3" t="s">
        <v>55</v>
      </c>
      <c r="AD11" s="3" t="s">
        <v>56</v>
      </c>
      <c r="AE11" s="3" t="s">
        <v>57</v>
      </c>
      <c r="AF11" s="3" t="s">
        <v>57</v>
      </c>
    </row>
    <row r="12" spans="1:32">
      <c r="A12" s="2">
        <v>0.37500000000000311</v>
      </c>
      <c r="B12" s="3" t="s">
        <v>58</v>
      </c>
      <c r="C12" s="3" t="s">
        <v>36</v>
      </c>
      <c r="D12" s="3" t="s">
        <v>37</v>
      </c>
      <c r="E12" s="3" t="s">
        <v>37</v>
      </c>
      <c r="F12" s="3" t="s">
        <v>38</v>
      </c>
      <c r="G12" s="3" t="s">
        <v>4</v>
      </c>
      <c r="H12" s="3" t="s">
        <v>59</v>
      </c>
      <c r="I12" s="3" t="s">
        <v>60</v>
      </c>
      <c r="J12" s="3" t="s">
        <v>40</v>
      </c>
      <c r="K12" s="3" t="s">
        <v>41</v>
      </c>
      <c r="L12" s="3" t="s">
        <v>3</v>
      </c>
      <c r="M12" s="3" t="s">
        <v>42</v>
      </c>
      <c r="N12" s="3" t="s">
        <v>20</v>
      </c>
      <c r="O12" s="3" t="s">
        <v>43</v>
      </c>
      <c r="P12" s="3" t="s">
        <v>61</v>
      </c>
      <c r="Q12" s="3" t="s">
        <v>62</v>
      </c>
      <c r="R12" s="3" t="s">
        <v>46</v>
      </c>
      <c r="S12" s="3" t="s">
        <v>47</v>
      </c>
      <c r="T12" s="3" t="s">
        <v>66</v>
      </c>
      <c r="U12" s="3" t="s">
        <v>49</v>
      </c>
      <c r="V12" s="3" t="s">
        <v>64</v>
      </c>
      <c r="W12" s="3" t="s">
        <v>67</v>
      </c>
      <c r="X12" s="3" t="s">
        <v>52</v>
      </c>
      <c r="Y12" s="3" t="s">
        <v>53</v>
      </c>
      <c r="Z12" s="3" t="s">
        <v>31</v>
      </c>
      <c r="AA12" s="3" t="s">
        <v>65</v>
      </c>
      <c r="AB12" s="3" t="s">
        <v>52</v>
      </c>
      <c r="AC12" s="3" t="s">
        <v>59</v>
      </c>
      <c r="AD12" s="3" t="s">
        <v>59</v>
      </c>
      <c r="AE12" s="3" t="s">
        <v>57</v>
      </c>
      <c r="AF12" s="3" t="s">
        <v>57</v>
      </c>
    </row>
    <row r="13" spans="1:32">
      <c r="A13" s="2">
        <v>0.41666666666666996</v>
      </c>
      <c r="B13" s="3" t="s">
        <v>58</v>
      </c>
      <c r="C13" s="3" t="s">
        <v>36</v>
      </c>
      <c r="D13" s="3" t="s">
        <v>37</v>
      </c>
      <c r="E13" s="3" t="s">
        <v>37</v>
      </c>
      <c r="F13" s="3" t="s">
        <v>38</v>
      </c>
      <c r="G13" s="3" t="s">
        <v>4</v>
      </c>
      <c r="H13" s="3" t="s">
        <v>59</v>
      </c>
      <c r="I13" s="3" t="s">
        <v>60</v>
      </c>
      <c r="J13" s="3" t="s">
        <v>40</v>
      </c>
      <c r="K13" s="3" t="s">
        <v>41</v>
      </c>
      <c r="L13" s="3" t="s">
        <v>3</v>
      </c>
      <c r="M13" s="3" t="s">
        <v>42</v>
      </c>
      <c r="N13" s="3" t="s">
        <v>20</v>
      </c>
      <c r="O13" s="3" t="s">
        <v>43</v>
      </c>
      <c r="P13" s="3" t="s">
        <v>61</v>
      </c>
      <c r="Q13" s="3" t="s">
        <v>62</v>
      </c>
      <c r="R13" s="3" t="s">
        <v>46</v>
      </c>
      <c r="S13" s="3" t="s">
        <v>47</v>
      </c>
      <c r="T13" s="3" t="s">
        <v>68</v>
      </c>
      <c r="U13" s="3" t="s">
        <v>49</v>
      </c>
      <c r="V13" s="3" t="s">
        <v>64</v>
      </c>
      <c r="W13" s="3" t="s">
        <v>67</v>
      </c>
      <c r="X13" s="3" t="s">
        <v>52</v>
      </c>
      <c r="Y13" s="3" t="s">
        <v>53</v>
      </c>
      <c r="Z13" s="3" t="s">
        <v>31</v>
      </c>
      <c r="AA13" s="3" t="s">
        <v>65</v>
      </c>
      <c r="AB13" s="3" t="s">
        <v>52</v>
      </c>
      <c r="AC13" s="3" t="s">
        <v>59</v>
      </c>
      <c r="AD13" s="3" t="s">
        <v>59</v>
      </c>
      <c r="AE13" s="3" t="s">
        <v>57</v>
      </c>
      <c r="AF13" s="3" t="s">
        <v>57</v>
      </c>
    </row>
    <row r="14" spans="1:32">
      <c r="A14" s="2">
        <v>0.45833333333333692</v>
      </c>
      <c r="B14" s="3" t="s">
        <v>58</v>
      </c>
      <c r="C14" s="3" t="s">
        <v>36</v>
      </c>
      <c r="D14" s="3" t="s">
        <v>37</v>
      </c>
      <c r="E14" s="3" t="s">
        <v>37</v>
      </c>
      <c r="F14" s="3" t="s">
        <v>38</v>
      </c>
      <c r="G14" s="3" t="s">
        <v>4</v>
      </c>
      <c r="H14" s="3" t="s">
        <v>59</v>
      </c>
      <c r="I14" s="3" t="s">
        <v>60</v>
      </c>
      <c r="J14" s="3" t="s">
        <v>40</v>
      </c>
      <c r="K14" s="3" t="s">
        <v>41</v>
      </c>
      <c r="L14" s="3" t="s">
        <v>3</v>
      </c>
      <c r="M14" s="3" t="s">
        <v>42</v>
      </c>
      <c r="N14" s="3" t="s">
        <v>20</v>
      </c>
      <c r="O14" s="3" t="s">
        <v>43</v>
      </c>
      <c r="P14" s="3" t="s">
        <v>61</v>
      </c>
      <c r="Q14" s="3" t="s">
        <v>62</v>
      </c>
      <c r="R14" s="3" t="s">
        <v>46</v>
      </c>
      <c r="S14" s="3" t="s">
        <v>47</v>
      </c>
      <c r="T14" s="3" t="s">
        <v>68</v>
      </c>
      <c r="U14" s="3" t="s">
        <v>49</v>
      </c>
      <c r="V14" s="3" t="s">
        <v>64</v>
      </c>
      <c r="W14" s="3" t="s">
        <v>67</v>
      </c>
      <c r="X14" s="3" t="s">
        <v>52</v>
      </c>
      <c r="Y14" s="3" t="s">
        <v>53</v>
      </c>
      <c r="Z14" s="3" t="s">
        <v>31</v>
      </c>
      <c r="AA14" s="3" t="s">
        <v>65</v>
      </c>
      <c r="AB14" s="3" t="s">
        <v>52</v>
      </c>
      <c r="AC14" s="3" t="s">
        <v>59</v>
      </c>
      <c r="AD14" s="3" t="s">
        <v>59</v>
      </c>
      <c r="AE14" s="3" t="s">
        <v>57</v>
      </c>
      <c r="AF14" s="3" t="s">
        <v>57</v>
      </c>
    </row>
    <row r="15" spans="1:32">
      <c r="A15" s="2">
        <v>0.500000000000004</v>
      </c>
      <c r="B15" s="3" t="s">
        <v>58</v>
      </c>
      <c r="C15" s="3" t="s">
        <v>36</v>
      </c>
      <c r="D15" s="3" t="s">
        <v>37</v>
      </c>
      <c r="E15" s="3" t="s">
        <v>37</v>
      </c>
      <c r="F15" s="3" t="s">
        <v>38</v>
      </c>
      <c r="G15" s="3" t="s">
        <v>4</v>
      </c>
      <c r="H15" s="3" t="s">
        <v>59</v>
      </c>
      <c r="I15" s="3" t="s">
        <v>2</v>
      </c>
      <c r="J15" s="3" t="s">
        <v>40</v>
      </c>
      <c r="K15" s="3" t="s">
        <v>41</v>
      </c>
      <c r="L15" s="3" t="s">
        <v>3</v>
      </c>
      <c r="M15" s="3" t="s">
        <v>42</v>
      </c>
      <c r="N15" s="3" t="s">
        <v>20</v>
      </c>
      <c r="O15" s="3" t="s">
        <v>43</v>
      </c>
      <c r="P15" s="3" t="s">
        <v>61</v>
      </c>
      <c r="Q15" s="3" t="s">
        <v>62</v>
      </c>
      <c r="R15" s="3" t="s">
        <v>46</v>
      </c>
      <c r="S15" s="3" t="s">
        <v>47</v>
      </c>
      <c r="T15" s="3" t="s">
        <v>68</v>
      </c>
      <c r="U15" s="3" t="s">
        <v>49</v>
      </c>
      <c r="V15" s="3" t="s">
        <v>64</v>
      </c>
      <c r="W15" s="3" t="s">
        <v>67</v>
      </c>
      <c r="X15" s="3" t="s">
        <v>52</v>
      </c>
      <c r="Y15" s="3" t="s">
        <v>53</v>
      </c>
      <c r="Z15" s="3" t="s">
        <v>31</v>
      </c>
      <c r="AA15" s="3" t="s">
        <v>65</v>
      </c>
      <c r="AB15" s="3" t="s">
        <v>52</v>
      </c>
      <c r="AC15" s="3" t="s">
        <v>59</v>
      </c>
      <c r="AD15" s="3" t="s">
        <v>59</v>
      </c>
      <c r="AE15" s="3" t="s">
        <v>57</v>
      </c>
      <c r="AF15" s="3" t="s">
        <v>57</v>
      </c>
    </row>
    <row r="16" spans="1:32">
      <c r="A16" s="2">
        <v>0.54166666666667096</v>
      </c>
      <c r="B16" s="3" t="s">
        <v>58</v>
      </c>
      <c r="C16" s="3" t="s">
        <v>36</v>
      </c>
      <c r="D16" s="3" t="s">
        <v>37</v>
      </c>
      <c r="E16" s="3" t="s">
        <v>37</v>
      </c>
      <c r="F16" s="3" t="s">
        <v>38</v>
      </c>
      <c r="G16" s="3" t="s">
        <v>4</v>
      </c>
      <c r="H16" s="3" t="s">
        <v>59</v>
      </c>
      <c r="I16" s="3" t="s">
        <v>2</v>
      </c>
      <c r="J16" s="3" t="s">
        <v>40</v>
      </c>
      <c r="K16" s="3" t="s">
        <v>41</v>
      </c>
      <c r="L16" s="3" t="s">
        <v>3</v>
      </c>
      <c r="M16" s="3" t="s">
        <v>42</v>
      </c>
      <c r="N16" s="3" t="s">
        <v>20</v>
      </c>
      <c r="O16" s="3" t="s">
        <v>43</v>
      </c>
      <c r="P16" s="3" t="s">
        <v>61</v>
      </c>
      <c r="Q16" s="3" t="s">
        <v>62</v>
      </c>
      <c r="R16" s="3" t="s">
        <v>46</v>
      </c>
      <c r="S16" s="3" t="s">
        <v>47</v>
      </c>
      <c r="T16" s="3" t="s">
        <v>68</v>
      </c>
      <c r="U16" s="3" t="s">
        <v>49</v>
      </c>
      <c r="V16" s="3" t="s">
        <v>64</v>
      </c>
      <c r="W16" s="3" t="s">
        <v>67</v>
      </c>
      <c r="X16" s="3" t="s">
        <v>52</v>
      </c>
      <c r="Y16" s="3" t="s">
        <v>53</v>
      </c>
      <c r="Z16" s="3" t="s">
        <v>31</v>
      </c>
      <c r="AA16" s="3" t="s">
        <v>65</v>
      </c>
      <c r="AB16" s="3" t="s">
        <v>52</v>
      </c>
      <c r="AC16" s="3" t="s">
        <v>59</v>
      </c>
      <c r="AD16" s="3" t="s">
        <v>59</v>
      </c>
      <c r="AE16" s="3" t="s">
        <v>57</v>
      </c>
      <c r="AF16" s="3" t="s">
        <v>57</v>
      </c>
    </row>
    <row r="17" spans="1:32">
      <c r="A17" s="2">
        <v>0.58333333333333803</v>
      </c>
      <c r="B17" s="3" t="s">
        <v>58</v>
      </c>
      <c r="C17" s="3" t="s">
        <v>36</v>
      </c>
      <c r="D17" s="3" t="s">
        <v>37</v>
      </c>
      <c r="E17" s="3" t="s">
        <v>37</v>
      </c>
      <c r="F17" s="3" t="s">
        <v>38</v>
      </c>
      <c r="G17" s="3" t="s">
        <v>4</v>
      </c>
      <c r="H17" s="3" t="s">
        <v>59</v>
      </c>
      <c r="I17" s="3" t="s">
        <v>2</v>
      </c>
      <c r="J17" s="3" t="s">
        <v>40</v>
      </c>
      <c r="K17" s="3" t="s">
        <v>41</v>
      </c>
      <c r="L17" s="3" t="s">
        <v>3</v>
      </c>
      <c r="M17" s="3" t="s">
        <v>42</v>
      </c>
      <c r="N17" s="3" t="s">
        <v>20</v>
      </c>
      <c r="O17" s="3" t="s">
        <v>43</v>
      </c>
      <c r="P17" s="3" t="s">
        <v>61</v>
      </c>
      <c r="Q17" s="3" t="s">
        <v>62</v>
      </c>
      <c r="R17" s="3" t="s">
        <v>46</v>
      </c>
      <c r="S17" s="3" t="s">
        <v>47</v>
      </c>
      <c r="T17" s="3" t="s">
        <v>68</v>
      </c>
      <c r="U17" s="3" t="s">
        <v>49</v>
      </c>
      <c r="V17" s="3" t="s">
        <v>64</v>
      </c>
      <c r="W17" s="3" t="s">
        <v>67</v>
      </c>
      <c r="X17" s="3" t="s">
        <v>52</v>
      </c>
      <c r="Y17" s="3" t="s">
        <v>53</v>
      </c>
      <c r="Z17" s="3" t="s">
        <v>31</v>
      </c>
      <c r="AA17" s="3" t="s">
        <v>65</v>
      </c>
      <c r="AB17" s="3" t="s">
        <v>52</v>
      </c>
      <c r="AC17" s="3" t="s">
        <v>59</v>
      </c>
      <c r="AD17" s="3" t="s">
        <v>59</v>
      </c>
      <c r="AE17" s="3" t="s">
        <v>57</v>
      </c>
      <c r="AF17" s="3" t="s">
        <v>57</v>
      </c>
    </row>
    <row r="18" spans="1:32">
      <c r="A18" s="2">
        <v>0.625000000000005</v>
      </c>
      <c r="B18" s="3" t="s">
        <v>58</v>
      </c>
      <c r="C18" s="3" t="s">
        <v>36</v>
      </c>
      <c r="D18" s="3" t="s">
        <v>37</v>
      </c>
      <c r="E18" s="3" t="s">
        <v>37</v>
      </c>
      <c r="F18" s="3" t="s">
        <v>38</v>
      </c>
      <c r="G18" s="3" t="s">
        <v>4</v>
      </c>
      <c r="H18" s="3" t="s">
        <v>59</v>
      </c>
      <c r="I18" s="3" t="s">
        <v>2</v>
      </c>
      <c r="J18" s="3" t="s">
        <v>40</v>
      </c>
      <c r="K18" s="3" t="s">
        <v>41</v>
      </c>
      <c r="L18" s="3" t="s">
        <v>3</v>
      </c>
      <c r="M18" s="3" t="s">
        <v>42</v>
      </c>
      <c r="N18" s="3" t="s">
        <v>20</v>
      </c>
      <c r="O18" s="3" t="s">
        <v>43</v>
      </c>
      <c r="P18" s="3" t="s">
        <v>61</v>
      </c>
      <c r="Q18" s="3" t="s">
        <v>62</v>
      </c>
      <c r="R18" s="3" t="s">
        <v>46</v>
      </c>
      <c r="S18" s="3" t="s">
        <v>47</v>
      </c>
      <c r="T18" s="3" t="s">
        <v>68</v>
      </c>
      <c r="U18" s="3" t="s">
        <v>49</v>
      </c>
      <c r="V18" s="3" t="s">
        <v>64</v>
      </c>
      <c r="W18" s="3" t="s">
        <v>67</v>
      </c>
      <c r="X18" s="3" t="s">
        <v>52</v>
      </c>
      <c r="Y18" s="3" t="s">
        <v>53</v>
      </c>
      <c r="Z18" s="3" t="s">
        <v>31</v>
      </c>
      <c r="AA18" s="3" t="s">
        <v>65</v>
      </c>
      <c r="AB18" s="3" t="s">
        <v>52</v>
      </c>
      <c r="AC18" s="3" t="s">
        <v>59</v>
      </c>
      <c r="AD18" s="3" t="s">
        <v>59</v>
      </c>
      <c r="AE18" s="3" t="s">
        <v>57</v>
      </c>
      <c r="AF18" s="3" t="s">
        <v>57</v>
      </c>
    </row>
    <row r="19" spans="1:32">
      <c r="A19" s="2">
        <v>0.66666666666667185</v>
      </c>
      <c r="B19" s="3" t="s">
        <v>58</v>
      </c>
      <c r="C19" s="3" t="s">
        <v>36</v>
      </c>
      <c r="D19" s="3" t="s">
        <v>37</v>
      </c>
      <c r="E19" s="3" t="s">
        <v>37</v>
      </c>
      <c r="F19" s="3" t="s">
        <v>38</v>
      </c>
      <c r="G19" s="3" t="s">
        <v>4</v>
      </c>
      <c r="H19" s="3" t="s">
        <v>59</v>
      </c>
      <c r="I19" s="3" t="s">
        <v>2</v>
      </c>
      <c r="J19" s="3" t="s">
        <v>40</v>
      </c>
      <c r="K19" s="3" t="s">
        <v>41</v>
      </c>
      <c r="L19" s="3" t="s">
        <v>3</v>
      </c>
      <c r="M19" s="3" t="s">
        <v>42</v>
      </c>
      <c r="N19" s="3" t="s">
        <v>20</v>
      </c>
      <c r="O19" s="3" t="s">
        <v>43</v>
      </c>
      <c r="P19" s="3" t="s">
        <v>61</v>
      </c>
      <c r="Q19" s="3" t="s">
        <v>62</v>
      </c>
      <c r="R19" s="3" t="s">
        <v>46</v>
      </c>
      <c r="S19" s="3" t="s">
        <v>47</v>
      </c>
      <c r="T19" s="3" t="s">
        <v>68</v>
      </c>
      <c r="U19" s="3" t="s">
        <v>49</v>
      </c>
      <c r="V19" s="3" t="s">
        <v>64</v>
      </c>
      <c r="W19" s="3" t="s">
        <v>67</v>
      </c>
      <c r="X19" s="3" t="s">
        <v>52</v>
      </c>
      <c r="Y19" s="3" t="s">
        <v>53</v>
      </c>
      <c r="Z19" s="3" t="s">
        <v>31</v>
      </c>
      <c r="AA19" s="3" t="s">
        <v>65</v>
      </c>
      <c r="AB19" s="3" t="s">
        <v>52</v>
      </c>
      <c r="AC19" s="3" t="s">
        <v>59</v>
      </c>
      <c r="AD19" s="3" t="s">
        <v>59</v>
      </c>
      <c r="AE19" s="3" t="s">
        <v>57</v>
      </c>
      <c r="AF19" s="3" t="s">
        <v>57</v>
      </c>
    </row>
    <row r="20" spans="1:32">
      <c r="A20" s="2">
        <v>0.70833333333333914</v>
      </c>
      <c r="B20" s="3" t="s">
        <v>58</v>
      </c>
      <c r="C20" s="3" t="s">
        <v>36</v>
      </c>
      <c r="D20" s="3" t="s">
        <v>37</v>
      </c>
      <c r="E20" s="3" t="s">
        <v>37</v>
      </c>
      <c r="F20" s="3" t="s">
        <v>38</v>
      </c>
      <c r="G20" s="3" t="s">
        <v>4</v>
      </c>
      <c r="H20" s="3" t="s">
        <v>59</v>
      </c>
      <c r="I20" s="3" t="s">
        <v>2</v>
      </c>
      <c r="J20" s="3" t="s">
        <v>40</v>
      </c>
      <c r="K20" s="3" t="s">
        <v>41</v>
      </c>
      <c r="L20" s="3" t="s">
        <v>3</v>
      </c>
      <c r="M20" s="3" t="s">
        <v>42</v>
      </c>
      <c r="N20" s="3" t="s">
        <v>20</v>
      </c>
      <c r="O20" s="3" t="s">
        <v>43</v>
      </c>
      <c r="P20" s="3" t="s">
        <v>61</v>
      </c>
      <c r="Q20" s="3" t="s">
        <v>62</v>
      </c>
      <c r="R20" s="3" t="s">
        <v>46</v>
      </c>
      <c r="S20" s="3" t="s">
        <v>47</v>
      </c>
      <c r="T20" s="3" t="s">
        <v>68</v>
      </c>
      <c r="U20" s="3" t="s">
        <v>49</v>
      </c>
      <c r="V20" s="3" t="s">
        <v>64</v>
      </c>
      <c r="W20" s="3" t="s">
        <v>67</v>
      </c>
      <c r="X20" s="3" t="s">
        <v>52</v>
      </c>
      <c r="Y20" s="3" t="s">
        <v>53</v>
      </c>
      <c r="Z20" s="3" t="s">
        <v>31</v>
      </c>
      <c r="AA20" s="3" t="s">
        <v>65</v>
      </c>
      <c r="AB20" s="3" t="s">
        <v>52</v>
      </c>
      <c r="AC20" s="3" t="s">
        <v>59</v>
      </c>
      <c r="AD20" s="3" t="s">
        <v>59</v>
      </c>
      <c r="AE20" s="3" t="s">
        <v>57</v>
      </c>
      <c r="AF20" s="3" t="s">
        <v>57</v>
      </c>
    </row>
    <row r="21" spans="1:32">
      <c r="A21" s="2">
        <v>0.75000000000000611</v>
      </c>
      <c r="B21" s="3" t="s">
        <v>7</v>
      </c>
      <c r="C21" s="3" t="s">
        <v>69</v>
      </c>
      <c r="D21" s="3" t="s">
        <v>70</v>
      </c>
      <c r="E21" s="3" t="s">
        <v>5</v>
      </c>
      <c r="F21" s="3" t="s">
        <v>19</v>
      </c>
      <c r="G21" s="3" t="s">
        <v>15</v>
      </c>
      <c r="H21" s="3" t="s">
        <v>20</v>
      </c>
      <c r="I21" s="3" t="s">
        <v>71</v>
      </c>
      <c r="J21" s="3" t="s">
        <v>72</v>
      </c>
      <c r="K21" s="3" t="s">
        <v>4</v>
      </c>
      <c r="L21" s="3" t="s">
        <v>23</v>
      </c>
      <c r="M21" s="3" t="s">
        <v>73</v>
      </c>
      <c r="N21" s="3" t="s">
        <v>73</v>
      </c>
      <c r="O21" s="3" t="s">
        <v>25</v>
      </c>
      <c r="P21" s="3" t="s">
        <v>25</v>
      </c>
      <c r="Q21" s="3" t="s">
        <v>74</v>
      </c>
      <c r="R21" s="3" t="s">
        <v>74</v>
      </c>
      <c r="S21" s="3" t="s">
        <v>4</v>
      </c>
      <c r="T21" s="3" t="s">
        <v>27</v>
      </c>
      <c r="U21" s="3" t="s">
        <v>28</v>
      </c>
      <c r="V21" s="3" t="s">
        <v>4</v>
      </c>
      <c r="W21" s="3" t="s">
        <v>5</v>
      </c>
      <c r="X21" s="3" t="s">
        <v>17</v>
      </c>
      <c r="Y21" s="3" t="s">
        <v>23</v>
      </c>
      <c r="Z21" s="3" t="s">
        <v>75</v>
      </c>
      <c r="AA21" s="3" t="s">
        <v>22</v>
      </c>
      <c r="AB21" s="3" t="s">
        <v>31</v>
      </c>
      <c r="AC21" s="3" t="s">
        <v>4</v>
      </c>
      <c r="AD21" s="3" t="s">
        <v>32</v>
      </c>
      <c r="AE21" s="3" t="s">
        <v>76</v>
      </c>
      <c r="AF21" s="3" t="s">
        <v>17</v>
      </c>
    </row>
    <row r="22" spans="1:32">
      <c r="A22" s="2">
        <v>0.79166666666667262</v>
      </c>
      <c r="B22" s="3" t="s">
        <v>7</v>
      </c>
      <c r="C22" s="3" t="s">
        <v>5</v>
      </c>
      <c r="D22" s="3" t="s">
        <v>70</v>
      </c>
      <c r="E22" s="3" t="s">
        <v>5</v>
      </c>
      <c r="F22" s="3" t="s">
        <v>19</v>
      </c>
      <c r="G22" s="3" t="s">
        <v>15</v>
      </c>
      <c r="H22" s="3" t="s">
        <v>20</v>
      </c>
      <c r="I22" s="3" t="s">
        <v>71</v>
      </c>
      <c r="J22" s="3" t="s">
        <v>72</v>
      </c>
      <c r="K22" s="3" t="s">
        <v>4</v>
      </c>
      <c r="L22" s="3" t="s">
        <v>23</v>
      </c>
      <c r="M22" s="3" t="s">
        <v>73</v>
      </c>
      <c r="N22" s="3" t="s">
        <v>73</v>
      </c>
      <c r="O22" s="3" t="s">
        <v>25</v>
      </c>
      <c r="P22" s="3" t="s">
        <v>25</v>
      </c>
      <c r="Q22" s="3" t="s">
        <v>74</v>
      </c>
      <c r="R22" s="3" t="s">
        <v>74</v>
      </c>
      <c r="S22" s="3" t="s">
        <v>4</v>
      </c>
      <c r="T22" s="3" t="s">
        <v>27</v>
      </c>
      <c r="U22" s="3" t="s">
        <v>28</v>
      </c>
      <c r="V22" s="3" t="s">
        <v>4</v>
      </c>
      <c r="W22" s="3" t="s">
        <v>5</v>
      </c>
      <c r="X22" s="3" t="s">
        <v>17</v>
      </c>
      <c r="Y22" s="3" t="s">
        <v>23</v>
      </c>
      <c r="Z22" s="3" t="s">
        <v>75</v>
      </c>
      <c r="AA22" s="3" t="s">
        <v>22</v>
      </c>
      <c r="AB22" s="3" t="s">
        <v>31</v>
      </c>
      <c r="AC22" s="3" t="s">
        <v>4</v>
      </c>
      <c r="AD22" s="3" t="s">
        <v>32</v>
      </c>
      <c r="AE22" s="3" t="s">
        <v>76</v>
      </c>
      <c r="AF22" s="3" t="s">
        <v>17</v>
      </c>
    </row>
    <row r="23" spans="1:32">
      <c r="A23" s="2">
        <v>0.83333333333333992</v>
      </c>
      <c r="B23" s="3" t="s">
        <v>16</v>
      </c>
      <c r="C23" s="3" t="s">
        <v>5</v>
      </c>
      <c r="D23" s="3" t="s">
        <v>70</v>
      </c>
      <c r="E23" s="3" t="s">
        <v>5</v>
      </c>
      <c r="F23" s="3" t="s">
        <v>19</v>
      </c>
      <c r="G23" s="3" t="s">
        <v>15</v>
      </c>
      <c r="H23" s="3" t="s">
        <v>20</v>
      </c>
      <c r="I23" s="3" t="s">
        <v>71</v>
      </c>
      <c r="J23" s="3" t="s">
        <v>72</v>
      </c>
      <c r="K23" s="3" t="s">
        <v>4</v>
      </c>
      <c r="L23" s="3" t="s">
        <v>23</v>
      </c>
      <c r="M23" s="3" t="s">
        <v>73</v>
      </c>
      <c r="N23" s="3" t="s">
        <v>73</v>
      </c>
      <c r="O23" s="3" t="s">
        <v>25</v>
      </c>
      <c r="P23" s="3" t="s">
        <v>25</v>
      </c>
      <c r="Q23" s="3" t="s">
        <v>74</v>
      </c>
      <c r="R23" s="3" t="s">
        <v>74</v>
      </c>
      <c r="S23" s="3" t="s">
        <v>4</v>
      </c>
      <c r="T23" s="3" t="s">
        <v>27</v>
      </c>
      <c r="U23" s="3" t="s">
        <v>28</v>
      </c>
      <c r="V23" s="3" t="s">
        <v>4</v>
      </c>
      <c r="W23" s="3" t="s">
        <v>5</v>
      </c>
      <c r="X23" s="3" t="s">
        <v>17</v>
      </c>
      <c r="Y23" s="3" t="s">
        <v>23</v>
      </c>
      <c r="Z23" s="3" t="s">
        <v>75</v>
      </c>
      <c r="AA23" s="3" t="s">
        <v>22</v>
      </c>
      <c r="AB23" s="3" t="s">
        <v>31</v>
      </c>
      <c r="AC23" s="3" t="s">
        <v>4</v>
      </c>
      <c r="AD23" s="3" t="s">
        <v>32</v>
      </c>
      <c r="AE23" s="3" t="s">
        <v>76</v>
      </c>
      <c r="AF23" s="3" t="s">
        <v>17</v>
      </c>
    </row>
    <row r="24" spans="1:32">
      <c r="A24" s="2">
        <v>0.87500000000000688</v>
      </c>
      <c r="B24" s="3" t="s">
        <v>16</v>
      </c>
      <c r="C24" s="3" t="s">
        <v>77</v>
      </c>
      <c r="D24" s="3" t="s">
        <v>70</v>
      </c>
      <c r="E24" s="3" t="s">
        <v>5</v>
      </c>
      <c r="F24" s="3" t="s">
        <v>19</v>
      </c>
      <c r="G24" s="3" t="s">
        <v>15</v>
      </c>
      <c r="H24" s="3" t="s">
        <v>20</v>
      </c>
      <c r="I24" s="3" t="s">
        <v>71</v>
      </c>
      <c r="J24" s="3" t="s">
        <v>72</v>
      </c>
      <c r="K24" s="3" t="s">
        <v>22</v>
      </c>
      <c r="L24" s="3" t="s">
        <v>23</v>
      </c>
      <c r="M24" s="3" t="s">
        <v>73</v>
      </c>
      <c r="N24" s="3" t="s">
        <v>73</v>
      </c>
      <c r="O24" s="3" t="s">
        <v>25</v>
      </c>
      <c r="P24" s="3" t="s">
        <v>25</v>
      </c>
      <c r="Q24" s="3" t="s">
        <v>74</v>
      </c>
      <c r="R24" s="3" t="s">
        <v>74</v>
      </c>
      <c r="S24" s="3" t="s">
        <v>78</v>
      </c>
      <c r="T24" s="3" t="s">
        <v>27</v>
      </c>
      <c r="U24" s="3" t="s">
        <v>28</v>
      </c>
      <c r="V24" s="3" t="s">
        <v>79</v>
      </c>
      <c r="W24" s="3" t="s">
        <v>5</v>
      </c>
      <c r="X24" s="3" t="s">
        <v>17</v>
      </c>
      <c r="Y24" s="3" t="s">
        <v>23</v>
      </c>
      <c r="Z24" s="3" t="s">
        <v>75</v>
      </c>
      <c r="AA24" s="3" t="s">
        <v>22</v>
      </c>
      <c r="AB24" s="3" t="s">
        <v>31</v>
      </c>
      <c r="AC24" s="3" t="s">
        <v>29</v>
      </c>
      <c r="AD24" s="3" t="s">
        <v>32</v>
      </c>
      <c r="AE24" s="3" t="s">
        <v>76</v>
      </c>
      <c r="AF24" s="3" t="s">
        <v>17</v>
      </c>
    </row>
    <row r="25" spans="1:32">
      <c r="A25" s="2">
        <v>0.91666666666667385</v>
      </c>
      <c r="B25" s="3" t="s">
        <v>16</v>
      </c>
      <c r="C25" s="3" t="s">
        <v>77</v>
      </c>
      <c r="D25" s="3" t="s">
        <v>70</v>
      </c>
      <c r="E25" s="3" t="s">
        <v>5</v>
      </c>
      <c r="F25" s="3" t="s">
        <v>19</v>
      </c>
      <c r="G25" s="3" t="s">
        <v>15</v>
      </c>
      <c r="H25" s="3" t="s">
        <v>20</v>
      </c>
      <c r="I25" s="3" t="s">
        <v>71</v>
      </c>
      <c r="J25" s="3" t="s">
        <v>72</v>
      </c>
      <c r="K25" s="3" t="s">
        <v>22</v>
      </c>
      <c r="L25" s="3" t="s">
        <v>23</v>
      </c>
      <c r="M25" s="3" t="s">
        <v>73</v>
      </c>
      <c r="N25" s="3" t="s">
        <v>73</v>
      </c>
      <c r="O25" s="3" t="s">
        <v>25</v>
      </c>
      <c r="P25" s="3" t="s">
        <v>25</v>
      </c>
      <c r="Q25" s="3" t="s">
        <v>74</v>
      </c>
      <c r="R25" s="3" t="s">
        <v>74</v>
      </c>
      <c r="S25" s="3" t="s">
        <v>78</v>
      </c>
      <c r="T25" s="3" t="s">
        <v>27</v>
      </c>
      <c r="U25" s="3" t="s">
        <v>28</v>
      </c>
      <c r="V25" s="3" t="s">
        <v>79</v>
      </c>
      <c r="W25" s="3" t="s">
        <v>5</v>
      </c>
      <c r="X25" s="3" t="s">
        <v>17</v>
      </c>
      <c r="Y25" s="3" t="s">
        <v>23</v>
      </c>
      <c r="Z25" s="3" t="s">
        <v>75</v>
      </c>
      <c r="AA25" s="3" t="s">
        <v>22</v>
      </c>
      <c r="AB25" s="3" t="s">
        <v>31</v>
      </c>
      <c r="AC25" s="3" t="s">
        <v>29</v>
      </c>
      <c r="AD25" s="3" t="s">
        <v>32</v>
      </c>
      <c r="AE25" s="3" t="s">
        <v>76</v>
      </c>
      <c r="AF25" s="3" t="s">
        <v>17</v>
      </c>
    </row>
    <row r="26" spans="1:32">
      <c r="A26" s="2">
        <v>0.95833333333334081</v>
      </c>
      <c r="B26" s="3" t="s">
        <v>16</v>
      </c>
      <c r="C26" s="3" t="s">
        <v>77</v>
      </c>
      <c r="D26" s="3" t="s">
        <v>70</v>
      </c>
      <c r="E26" s="3" t="s">
        <v>5</v>
      </c>
      <c r="F26" s="3" t="s">
        <v>19</v>
      </c>
      <c r="G26" s="3" t="s">
        <v>15</v>
      </c>
      <c r="H26" s="3" t="s">
        <v>20</v>
      </c>
      <c r="I26" s="3" t="s">
        <v>71</v>
      </c>
      <c r="J26" s="3" t="s">
        <v>72</v>
      </c>
      <c r="K26" s="3" t="s">
        <v>22</v>
      </c>
      <c r="L26" s="3" t="s">
        <v>23</v>
      </c>
      <c r="M26" s="3" t="s">
        <v>73</v>
      </c>
      <c r="N26" s="3" t="s">
        <v>73</v>
      </c>
      <c r="O26" s="3" t="s">
        <v>25</v>
      </c>
      <c r="P26" s="3" t="s">
        <v>25</v>
      </c>
      <c r="Q26" s="3" t="s">
        <v>74</v>
      </c>
      <c r="R26" s="3" t="s">
        <v>74</v>
      </c>
      <c r="S26" s="3" t="s">
        <v>78</v>
      </c>
      <c r="T26" s="3" t="s">
        <v>27</v>
      </c>
      <c r="U26" s="3" t="s">
        <v>28</v>
      </c>
      <c r="V26" s="3" t="s">
        <v>79</v>
      </c>
      <c r="W26" s="3" t="s">
        <v>5</v>
      </c>
      <c r="X26" s="3" t="s">
        <v>17</v>
      </c>
      <c r="Y26" s="3" t="s">
        <v>23</v>
      </c>
      <c r="Z26" s="3" t="s">
        <v>75</v>
      </c>
      <c r="AA26" s="3" t="s">
        <v>22</v>
      </c>
      <c r="AB26" s="3" t="s">
        <v>31</v>
      </c>
      <c r="AC26" s="3" t="s">
        <v>29</v>
      </c>
      <c r="AD26" s="3" t="s">
        <v>32</v>
      </c>
      <c r="AE26" s="3" t="s">
        <v>76</v>
      </c>
      <c r="AF26" s="3" t="s">
        <v>17</v>
      </c>
    </row>
    <row r="29" spans="1:32" ht="15" customHeight="1">
      <c r="U29" s="8"/>
    </row>
    <row r="30" spans="1:32" ht="15" customHeight="1">
      <c r="O30" s="5" t="s">
        <v>1</v>
      </c>
      <c r="P30" s="5"/>
    </row>
    <row r="31" spans="1:32" ht="15" customHeight="1">
      <c r="O31" s="6" t="s">
        <v>2</v>
      </c>
      <c r="P31" s="7">
        <f>COUNTIF($B$3:$AK$26,"*Patrik*")</f>
        <v>105</v>
      </c>
    </row>
    <row r="32" spans="1:32" ht="15" customHeight="1">
      <c r="O32" s="6" t="s">
        <v>3</v>
      </c>
      <c r="P32" s="7">
        <f>COUNTIF($B$3:$AK$26,"*Levente*")</f>
        <v>132</v>
      </c>
    </row>
    <row r="33" spans="15:16" ht="15" customHeight="1">
      <c r="O33" s="5" t="s">
        <v>4</v>
      </c>
      <c r="P33" s="7">
        <f>COUNTIF($B$3:$AK$26,"*Bence*")</f>
        <v>192</v>
      </c>
    </row>
    <row r="34" spans="15:16" ht="15" customHeight="1">
      <c r="O34" s="5" t="s">
        <v>5</v>
      </c>
      <c r="P34" s="7">
        <f>COUNTIF($B$3:$AK$26,"*Benjámin*")</f>
        <v>174</v>
      </c>
    </row>
    <row r="35" spans="15:16" ht="15" customHeight="1">
      <c r="O35" s="5" t="s">
        <v>7</v>
      </c>
      <c r="P35" s="7">
        <f>COUNTIFS($B$3:$AK$26,"*Feri*")</f>
        <v>120</v>
      </c>
    </row>
    <row r="36" spans="15:16" ht="15" customHeight="1">
      <c r="O36" s="5" t="s">
        <v>8</v>
      </c>
      <c r="P36" s="7">
        <f>COUNTIF($B$3:$AK$26,"*Domi*")</f>
        <v>120</v>
      </c>
    </row>
    <row r="37" spans="15:16" ht="15" customHeight="1">
      <c r="O37" s="8" t="s">
        <v>15</v>
      </c>
      <c r="P37" s="8">
        <f>COUNTIF($B$3:$AK$26,"*Losi*")</f>
        <v>158</v>
      </c>
    </row>
    <row r="38" spans="15:16" ht="15" customHeight="1">
      <c r="O38" s="8" t="s">
        <v>54</v>
      </c>
      <c r="P38" s="8">
        <f>COUNTIF($B$3:$AK$26,"*Barnabás*")</f>
        <v>120</v>
      </c>
    </row>
    <row r="39" spans="15:16" ht="30">
      <c r="O39" s="8" t="s">
        <v>50</v>
      </c>
      <c r="P39" s="8">
        <f>COUNTIF($B$3:$AK$26,"*András*")</f>
        <v>124</v>
      </c>
    </row>
    <row r="40" spans="15:16" ht="30">
      <c r="O40" s="8" t="s">
        <v>80</v>
      </c>
      <c r="P40" s="8">
        <f>COUNTIF($B$3:$AK$26,"*Peti*")</f>
        <v>120</v>
      </c>
    </row>
    <row r="996" spans="15:16" ht="29.25">
      <c r="O996" s="5"/>
      <c r="P996" s="7"/>
    </row>
    <row r="997" spans="15:16" ht="29.25">
      <c r="O997" s="5"/>
      <c r="P997" s="7"/>
    </row>
    <row r="998" spans="15:16" ht="29.25">
      <c r="O998" s="5"/>
      <c r="P998" s="7"/>
    </row>
    <row r="999" spans="15:16" ht="30">
      <c r="O999" s="8"/>
      <c r="P999" s="8"/>
    </row>
  </sheetData>
  <printOptions horizontalCentered="1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jul1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Rózsa Péter</cp:lastModifiedBy>
  <dcterms:modified xsi:type="dcterms:W3CDTF">2026-07-15T14:20:42Z</dcterms:modified>
</cp:coreProperties>
</file>